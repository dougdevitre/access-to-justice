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etail" sheetId="2" state="visible" r:id="rId4"/>
    <sheet name="Funding Sources" sheetId="3" state="visible" r:id="rId5"/>
    <sheet name="Assump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<sst xmlns="http://schemas.openxmlformats.org/spreadsheetml/2006/main" count="138" uniqueCount="121">
  <si>
    <t xml:space="preserve">Family Court Metric Catalog — Missouri Pilot</t>
  </si>
  <si>
    <t xml:space="preserve">SUMMARY · 3-YEAR BUDGET BY CATEGORY</t>
  </si>
  <si>
    <t xml:space="preserve">Category</t>
  </si>
  <si>
    <t xml:space="preserve">Year 1</t>
  </si>
  <si>
    <t xml:space="preserve">Year 2</t>
  </si>
  <si>
    <t xml:space="preserve">Year 3</t>
  </si>
  <si>
    <t xml:space="preserve">Total (3yr)</t>
  </si>
  <si>
    <t xml:space="preserve">% of Total</t>
  </si>
  <si>
    <t xml:space="preserve">Personnel</t>
  </si>
  <si>
    <t xml:space="preserve">Board &amp; Reviews</t>
  </si>
  <si>
    <t xml:space="preserve">Infrastructure &amp; Ops</t>
  </si>
  <si>
    <t xml:space="preserve">Academic Partnerships</t>
  </si>
  <si>
    <t xml:space="preserve">Contingency</t>
  </si>
  <si>
    <t xml:space="preserve">TOTAL</t>
  </si>
  <si>
    <t xml:space="preserve">Budget Integrity</t>
  </si>
  <si>
    <t xml:space="preserve">All Year 1/2/3 amounts pull directly from Detail sheet. Change a rate or FTE in Detail; all totals update automatically.</t>
  </si>
  <si>
    <t xml:space="preserve">DETAIL · LINE ITEMS (3-YEAR BUDGET)</t>
  </si>
  <si>
    <t xml:space="preserve">Line Item</t>
  </si>
  <si>
    <t xml:space="preserve">FTE / Units</t>
  </si>
  <si>
    <t xml:space="preserve">Source / Notes</t>
  </si>
  <si>
    <t xml:space="preserve">Executive Director</t>
  </si>
  <si>
    <t xml:space="preserve">1.0 FTE</t>
  </si>
  <si>
    <t xml:space="preserve">Nonprofit ED, STL market rate</t>
  </si>
  <si>
    <t xml:space="preserve">Engineering Lead (Founder)</t>
  </si>
  <si>
    <t xml:space="preserve">Below-market founder salary</t>
  </si>
  <si>
    <t xml:space="preserve">Methodology Coordinator</t>
  </si>
  <si>
    <t xml:space="preserve">0.5 FTE</t>
  </si>
  <si>
    <t xml:space="preserve">Part-time research-ops role</t>
  </si>
  <si>
    <t xml:space="preserve">Research / Data Analyst</t>
  </si>
  <si>
    <t xml:space="preserve">Part-time analytics role</t>
  </si>
  <si>
    <t xml:space="preserve">Contract — Privacy Audit</t>
  </si>
  <si>
    <t xml:space="preserve">0.2 FTE</t>
  </si>
  <si>
    <t xml:space="preserve">External auditor, annual engagement</t>
  </si>
  <si>
    <t xml:space="preserve">Methodology Board Honoraria</t>
  </si>
  <si>
    <t xml:space="preserve">11 × 4</t>
  </si>
  <si>
    <t xml:space="preserve">11 members × 4 meetings × $500</t>
  </si>
  <si>
    <t xml:space="preserve">Data Ethics Review Honoraria</t>
  </si>
  <si>
    <t xml:space="preserve">5 × 2</t>
  </si>
  <si>
    <t xml:space="preserve">5 members × ~2 reviews × $2,000</t>
  </si>
  <si>
    <t xml:space="preserve">AWS Infrastructure</t>
  </si>
  <si>
    <t xml:space="preserve">—</t>
  </si>
  <si>
    <t xml:space="preserve">DynamoDB, Lambda, API Gtwy, S3, SSM</t>
  </si>
  <si>
    <t xml:space="preserve">Third-Party Tools (observability, etc.)</t>
  </si>
  <si>
    <t xml:space="preserve">Datadog/Sentry/compliance tooling</t>
  </si>
  <si>
    <t xml:space="preserve">Independent Security Audit</t>
  </si>
  <si>
    <t xml:space="preserve">Annual</t>
  </si>
  <si>
    <t xml:space="preserve">Required by MOU before Month 6</t>
  </si>
  <si>
    <t xml:space="preserve">Insurance (Cyber $2M, E&amp;O)</t>
  </si>
  <si>
    <t xml:space="preserve">Required by MOU Article IX</t>
  </si>
  <si>
    <t xml:space="preserve">Office / Meeting Costs</t>
  </si>
  <si>
    <t xml:space="preserve">Quarterly Board meeting logistics</t>
  </si>
  <si>
    <t xml:space="preserve">Wash U Law Research Contract</t>
  </si>
  <si>
    <t xml:space="preserve">Grad research + IRB support</t>
  </si>
  <si>
    <t xml:space="preserve">Mizzou Law Research Contract</t>
  </si>
  <si>
    <t xml:space="preserve">Missouri State CPA Research Contract</t>
  </si>
  <si>
    <t xml:space="preserve">Contingency (10% of operating)</t>
  </si>
  <si>
    <t xml:space="preserve">Unallocated reserve, Board-released</t>
  </si>
  <si>
    <t xml:space="preserve">Subtotal — Personnel</t>
  </si>
  <si>
    <t xml:space="preserve">Subtotal — Board &amp; Reviews</t>
  </si>
  <si>
    <t xml:space="preserve">Subtotal — Infrastructure &amp; Ops</t>
  </si>
  <si>
    <t xml:space="preserve">Subtotal — Academic Partnerships</t>
  </si>
  <si>
    <t xml:space="preserve">Subtotal — Contingency</t>
  </si>
  <si>
    <t xml:space="preserve">GRAND TOTAL (3-YEAR PILOT)</t>
  </si>
  <si>
    <t xml:space="preserve">Funding Sources · 20% Cap Enforced</t>
  </si>
  <si>
    <t xml:space="preserve">NO SINGLE FUNDER MAY EXCEED 20% OF TOTAL BUDGET</t>
  </si>
  <si>
    <t xml:space="preserve">Total Budget (from Summary)</t>
  </si>
  <si>
    <t xml:space="preserve">20% Cap Threshold</t>
  </si>
  <si>
    <t xml:space="preserve">Funder Category</t>
  </si>
  <si>
    <t xml:space="preserve">Target %</t>
  </si>
  <si>
    <t xml:space="preserve">Target $</t>
  </si>
  <si>
    <t xml:space="preserve">Secured $</t>
  </si>
  <si>
    <t xml:space="preserve">Status / Notes</t>
  </si>
  <si>
    <t xml:space="preserve">Philanthropy — Access-to-Justice Foundations</t>
  </si>
  <si>
    <t xml:space="preserve">Active cultivation · multi-funder stack</t>
  </si>
  <si>
    <t xml:space="preserve">Academic Institutional Partnerships</t>
  </si>
  <si>
    <t xml:space="preserve">Contracted at partner level (Wash U, Mizzou, MO State)</t>
  </si>
  <si>
    <t xml:space="preserve">Individual &amp; Community Donors</t>
  </si>
  <si>
    <t xml:space="preserve">Ongoing direct fundraising</t>
  </si>
  <si>
    <t xml:space="preserve">CoTrackPro Subscription Revenue</t>
  </si>
  <si>
    <t xml:space="preserve">Existing modest revenue stream</t>
  </si>
  <si>
    <t xml:space="preserve">Deferred — State Appropriation (post-pilot)</t>
  </si>
  <si>
    <t xml:space="preserve">Not Phase 1; placeholder pending legislative action</t>
  </si>
  <si>
    <t xml:space="preserve">Cap Check — Any Funder Over 20%?</t>
  </si>
  <si>
    <t xml:space="preserve">Max single funder target %</t>
  </si>
  <si>
    <t xml:space="preserve">Cap violation?</t>
  </si>
  <si>
    <t xml:space="preserve">Budget Assumptions</t>
  </si>
  <si>
    <t xml:space="preserve">DOCUMENT ANY CHANGE; SOURCE EVERY ASSUMPTION</t>
  </si>
  <si>
    <t xml:space="preserve">#</t>
  </si>
  <si>
    <t xml:space="preserve">Assumption</t>
  </si>
  <si>
    <t xml:space="preserve">Rationale</t>
  </si>
  <si>
    <t xml:space="preserve">Source / Reference</t>
  </si>
  <si>
    <t xml:space="preserve">One executive director hired within 90 days of funding secured</t>
  </si>
  <si>
    <t xml:space="preserve">Operational leadership is the critical path for Phase 1</t>
  </si>
  <si>
    <t xml:space="preserve">Standard nonprofit startup timeline</t>
  </si>
  <si>
    <t xml:space="preserve">No staff growth beyond Year 1 headcount</t>
  </si>
  <si>
    <t xml:space="preserve">Keeps budget predictable; absorbs growth via contractors only</t>
  </si>
  <si>
    <t xml:space="preserve">Internal planning decision</t>
  </si>
  <si>
    <t xml:space="preserve">Pilot circuits require no reimbursement</t>
  </si>
  <si>
    <t xml:space="preserve">MOU structure assumes voluntary participation</t>
  </si>
  <si>
    <t xml:space="preserve">OSCA Data-Sharing MOU (Doc 06), Article VIII</t>
  </si>
  <si>
    <t xml:space="preserve">AWS costs stay within Activate credits for first 6 months</t>
  </si>
  <si>
    <t xml:space="preserve">New nonprofit qualifies for AWS Activate $5K tier</t>
  </si>
  <si>
    <t xml:space="preserve">AWS Activate program eligibility</t>
  </si>
  <si>
    <t xml:space="preserve">Academic partners provide in-kind contribution (faculty time, IRB)</t>
  </si>
  <si>
    <t xml:space="preserve">Contracted $15k/yr supplements ~3-5x that value in-kind</t>
  </si>
  <si>
    <t xml:space="preserve">Standard academic partnership pattern</t>
  </si>
  <si>
    <t xml:space="preserve">No litigation expenses in baseline budget</t>
  </si>
  <si>
    <t xml:space="preserve">Test cases would require separate supplemental funding</t>
  </si>
  <si>
    <t xml:space="preserve">Risk Register (Doc 10), Category IV</t>
  </si>
  <si>
    <t xml:space="preserve">Year 2 and Year 3 include 3% escalation over Year 1</t>
  </si>
  <si>
    <t xml:space="preserve">Modest inflation adjustment consistent with nonprofit norms</t>
  </si>
  <si>
    <t xml:space="preserve">BLS CPI projections, conservative</t>
  </si>
  <si>
    <t xml:space="preserve">Contingency (10%) held in reserve</t>
  </si>
  <si>
    <t xml:space="preserve">Board-released, not presumed available for operations</t>
  </si>
  <si>
    <t xml:space="preserve">Internal governance decision</t>
  </si>
  <si>
    <t xml:space="preserve">20% funder cap enforced regardless of category</t>
  </si>
  <si>
    <t xml:space="preserve">Prevents capture by any single interest</t>
  </si>
  <si>
    <t xml:space="preserve">Methodology Board Charter (Doc 07)</t>
  </si>
  <si>
    <t xml:space="preserve">All figures in 2026 US dollars</t>
  </si>
  <si>
    <t xml:space="preserve">No inflation adjustment beyond stated 3% Y-over-Y</t>
  </si>
  <si>
    <t xml:space="preserve">Standard nonprofit budget convention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</si>
</sst>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%"/>
    <numFmt numFmtId="167" formatCode="\$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D1220"/>
      <name val="Arial"/>
      <family val="0"/>
      <charset val="1"/>
    </font>
    <font>
      <b val="true"/>
      <sz val="10"/>
      <color rgb="FFB8371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D122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B8371F"/>
      <name val="Arial"/>
      <family val="0"/>
      <charset val="1"/>
    </font>
    <font>
      <i val="true"/>
      <sz val="10"/>
      <color rgb="FF0D1220"/>
      <name val="Arial"/>
      <family val="0"/>
      <charset val="1"/>
    </font>
    <font>
      <sz val="11"/>
      <color rgb="FF0000FF"/>
      <name val="Arial"/>
      <family val="0"/>
      <charset val="1"/>
    </font>
    <font>
      <sz val="10"/>
      <color rgb="FF555046"/>
      <name val="Arial"/>
      <family val="0"/>
      <charset val="1"/>
    </font>
    <font>
      <b val="true"/>
      <sz val="11"/>
      <color rgb="FF0D122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0"/>
      <color rgb="FF0D1220"/>
      <name val="Arial"/>
      <family val="0"/>
      <charset val="1"/>
    </font>
    <font>
      <sz val="10"/>
      <color rgb="FF0D1220"/>
      <name val="Arial"/>
      <family val="0"/>
      <charset val="1"/>
    </font>
    <font>
      <i val="true"/>
      <sz val="9"/>
      <color rgb="FF55504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D1220"/>
        <bgColor rgb="FF000000"/>
      </patternFill>
    </fill>
    <fill>
      <patternFill patternType="solid">
        <fgColor rgb="FFF5EFE5"/>
        <bgColor rgb="FFFFF3CD"/>
      </patternFill>
    </fill>
    <fill>
      <patternFill patternType="solid">
        <fgColor rgb="FFFFF3CD"/>
        <bgColor rgb="FFF5EFE5"/>
      </patternFill>
    </fill>
    <fill>
      <patternFill patternType="solid">
        <fgColor rgb="FFD4EDDA"/>
        <bgColor rgb="FFF5EFE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medium">
        <color rgb="FF0D1220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4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F5EFE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1220"/>
      <rgbColor rgb="FF333300"/>
      <rgbColor rgb="FFB8371F"/>
      <rgbColor rgb="FF993366"/>
      <rgbColor rgb="FF333399"/>
      <rgbColor rgb="FF5550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15"/>
    <col collapsed="false" customWidth="true" hidden="false" outlineLevel="0" max="6" min="6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f aca="false">Detail!C22</f>
        <v>318000</v>
      </c>
      <c r="C5" s="5" t="n">
        <f aca="false">Detail!D22</f>
        <v>331000</v>
      </c>
      <c r="D5" s="5" t="n">
        <f aca="false">Detail!E22</f>
        <v>345000</v>
      </c>
      <c r="E5" s="6" t="n">
        <f aca="false">SUM(B5:D5)</f>
        <v>994000</v>
      </c>
      <c r="F5" s="7" t="n">
        <f aca="false">E5/$E$11</f>
        <v>0.683391657671656</v>
      </c>
    </row>
    <row r="6" customFormat="false" ht="15" hidden="false" customHeight="false" outlineLevel="0" collapsed="false">
      <c r="A6" s="4" t="s">
        <v>9</v>
      </c>
      <c r="B6" s="5" t="n">
        <f aca="false">Detail!C23</f>
        <v>42000</v>
      </c>
      <c r="C6" s="5" t="n">
        <f aca="false">Detail!D23</f>
        <v>44000</v>
      </c>
      <c r="D6" s="5" t="n">
        <f aca="false">Detail!E23</f>
        <v>46000</v>
      </c>
      <c r="E6" s="6" t="n">
        <f aca="false">SUM(B6:D6)</f>
        <v>132000</v>
      </c>
      <c r="F6" s="7" t="n">
        <f aca="false">E6/$E$11</f>
        <v>0.0907522120851696</v>
      </c>
    </row>
    <row r="7" customFormat="false" ht="15" hidden="false" customHeight="false" outlineLevel="0" collapsed="false">
      <c r="A7" s="4" t="s">
        <v>10</v>
      </c>
      <c r="B7" s="5" t="n">
        <f aca="false">Detail!C24</f>
        <v>46500</v>
      </c>
      <c r="C7" s="5" t="n">
        <f aca="false">Detail!D24</f>
        <v>48200</v>
      </c>
      <c r="D7" s="5" t="n">
        <f aca="false">Detail!E24</f>
        <v>50000</v>
      </c>
      <c r="E7" s="6" t="n">
        <f aca="false">SUM(B7:D7)</f>
        <v>144700</v>
      </c>
      <c r="F7" s="7" t="n">
        <f aca="false">E7/$E$11</f>
        <v>0.0994836749145761</v>
      </c>
    </row>
    <row r="8" customFormat="false" ht="15" hidden="false" customHeight="false" outlineLevel="0" collapsed="false">
      <c r="A8" s="4" t="s">
        <v>11</v>
      </c>
      <c r="B8" s="5" t="n">
        <f aca="false">Detail!C25</f>
        <v>45000</v>
      </c>
      <c r="C8" s="5" t="n">
        <f aca="false">Detail!D25</f>
        <v>45000</v>
      </c>
      <c r="D8" s="5" t="n">
        <f aca="false">Detail!E25</f>
        <v>45000</v>
      </c>
      <c r="E8" s="6" t="n">
        <f aca="false">SUM(B8:D8)</f>
        <v>135000</v>
      </c>
      <c r="F8" s="7" t="n">
        <f aca="false">E8/$E$11</f>
        <v>0.0928147623598325</v>
      </c>
    </row>
    <row r="9" customFormat="false" ht="15" hidden="false" customHeight="false" outlineLevel="0" collapsed="false">
      <c r="A9" s="4" t="s">
        <v>12</v>
      </c>
      <c r="B9" s="5" t="n">
        <f aca="false">Detail!C26</f>
        <v>15810</v>
      </c>
      <c r="C9" s="5" t="n">
        <f aca="false">Detail!D26</f>
        <v>14970</v>
      </c>
      <c r="D9" s="5" t="n">
        <f aca="false">Detail!E26</f>
        <v>18030</v>
      </c>
      <c r="E9" s="6" t="n">
        <f aca="false">SUM(B9:D9)</f>
        <v>48810</v>
      </c>
      <c r="F9" s="7" t="n">
        <f aca="false">E9/$E$11</f>
        <v>0.0335576929687661</v>
      </c>
    </row>
    <row r="11" customFormat="false" ht="15" hidden="false" customHeight="false" outlineLevel="0" collapsed="false">
      <c r="A11" s="8" t="s">
        <v>13</v>
      </c>
      <c r="B11" s="9" t="n">
        <f aca="false">SUM(B5:B9)</f>
        <v>467310</v>
      </c>
      <c r="C11" s="9" t="n">
        <f aca="false">SUM(C5:C9)</f>
        <v>483170</v>
      </c>
      <c r="D11" s="9" t="n">
        <f aca="false">SUM(D5:D9)</f>
        <v>504030</v>
      </c>
      <c r="E11" s="9" t="n">
        <f aca="false">SUM(E5:E9)</f>
        <v>1454510</v>
      </c>
      <c r="F11" s="10" t="n">
        <f aca="false">E11/E11</f>
        <v>1</v>
      </c>
    </row>
    <row r="14" customFormat="false" ht="15" hidden="false" customHeight="false" outlineLevel="0" collapsed="false">
      <c r="A14" s="11" t="s">
        <v>14</v>
      </c>
    </row>
    <row r="15" customFormat="false" ht="15" hidden="false" customHeight="true" outlineLevel="0" collapsed="false">
      <c r="A15" s="12" t="s">
        <v>15</v>
      </c>
      <c r="B15" s="12"/>
      <c r="C15" s="12"/>
      <c r="D15" s="12"/>
      <c r="E15" s="12"/>
      <c r="F15" s="12"/>
    </row>
  </sheetData>
  <mergeCells count="1"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3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16</v>
      </c>
    </row>
    <row r="4" customFormat="false" ht="15" hidden="false" customHeight="false" outlineLevel="0" collapsed="false">
      <c r="A4" s="3" t="s">
        <v>17</v>
      </c>
      <c r="B4" s="3" t="s">
        <v>18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19</v>
      </c>
    </row>
    <row r="5" customFormat="false" ht="15" hidden="false" customHeight="false" outlineLevel="0" collapsed="false">
      <c r="A5" s="4" t="s">
        <v>20</v>
      </c>
      <c r="B5" s="13" t="s">
        <v>21</v>
      </c>
      <c r="C5" s="14" t="n">
        <v>130000</v>
      </c>
      <c r="D5" s="14" t="n">
        <v>135000</v>
      </c>
      <c r="E5" s="14" t="n">
        <v>141000</v>
      </c>
      <c r="F5" s="6" t="n">
        <f aca="false">SUM(C5:E5)</f>
        <v>406000</v>
      </c>
      <c r="G5" s="15" t="s">
        <v>22</v>
      </c>
    </row>
    <row r="6" customFormat="false" ht="15" hidden="false" customHeight="false" outlineLevel="0" collapsed="false">
      <c r="A6" s="4" t="s">
        <v>23</v>
      </c>
      <c r="B6" s="13" t="s">
        <v>21</v>
      </c>
      <c r="C6" s="14" t="n">
        <v>95000</v>
      </c>
      <c r="D6" s="14" t="n">
        <v>99000</v>
      </c>
      <c r="E6" s="14" t="n">
        <v>103000</v>
      </c>
      <c r="F6" s="6" t="n">
        <f aca="false">SUM(C6:E6)</f>
        <v>297000</v>
      </c>
      <c r="G6" s="15" t="s">
        <v>24</v>
      </c>
    </row>
    <row r="7" customFormat="false" ht="15" hidden="false" customHeight="false" outlineLevel="0" collapsed="false">
      <c r="A7" s="4" t="s">
        <v>25</v>
      </c>
      <c r="B7" s="13" t="s">
        <v>26</v>
      </c>
      <c r="C7" s="14" t="n">
        <v>43000</v>
      </c>
      <c r="D7" s="14" t="n">
        <v>45000</v>
      </c>
      <c r="E7" s="14" t="n">
        <v>47000</v>
      </c>
      <c r="F7" s="6" t="n">
        <f aca="false">SUM(C7:E7)</f>
        <v>135000</v>
      </c>
      <c r="G7" s="15" t="s">
        <v>27</v>
      </c>
    </row>
    <row r="8" customFormat="false" ht="15" hidden="false" customHeight="false" outlineLevel="0" collapsed="false">
      <c r="A8" s="4" t="s">
        <v>28</v>
      </c>
      <c r="B8" s="13" t="s">
        <v>26</v>
      </c>
      <c r="C8" s="14" t="n">
        <v>35000</v>
      </c>
      <c r="D8" s="14" t="n">
        <v>37000</v>
      </c>
      <c r="E8" s="14" t="n">
        <v>39000</v>
      </c>
      <c r="F8" s="6" t="n">
        <f aca="false">SUM(C8:E8)</f>
        <v>111000</v>
      </c>
      <c r="G8" s="15" t="s">
        <v>29</v>
      </c>
    </row>
    <row r="9" customFormat="false" ht="15" hidden="false" customHeight="false" outlineLevel="0" collapsed="false">
      <c r="A9" s="4" t="s">
        <v>30</v>
      </c>
      <c r="B9" s="13" t="s">
        <v>31</v>
      </c>
      <c r="C9" s="14" t="n">
        <v>15000</v>
      </c>
      <c r="D9" s="14" t="n">
        <v>15000</v>
      </c>
      <c r="E9" s="14" t="n">
        <v>15000</v>
      </c>
      <c r="F9" s="6" t="n">
        <f aca="false">SUM(C9:E9)</f>
        <v>45000</v>
      </c>
      <c r="G9" s="15" t="s">
        <v>32</v>
      </c>
    </row>
    <row r="10" customFormat="false" ht="15" hidden="false" customHeight="false" outlineLevel="0" collapsed="false">
      <c r="A10" s="4" t="s">
        <v>33</v>
      </c>
      <c r="B10" s="13" t="s">
        <v>34</v>
      </c>
      <c r="C10" s="14" t="n">
        <v>22000</v>
      </c>
      <c r="D10" s="14" t="n">
        <v>22000</v>
      </c>
      <c r="E10" s="14" t="n">
        <v>22000</v>
      </c>
      <c r="F10" s="6" t="n">
        <f aca="false">SUM(C10:E10)</f>
        <v>66000</v>
      </c>
      <c r="G10" s="15" t="s">
        <v>35</v>
      </c>
    </row>
    <row r="11" customFormat="false" ht="15" hidden="false" customHeight="false" outlineLevel="0" collapsed="false">
      <c r="A11" s="4" t="s">
        <v>36</v>
      </c>
      <c r="B11" s="13" t="s">
        <v>37</v>
      </c>
      <c r="C11" s="14" t="n">
        <v>20000</v>
      </c>
      <c r="D11" s="14" t="n">
        <v>22000</v>
      </c>
      <c r="E11" s="14" t="n">
        <v>24000</v>
      </c>
      <c r="F11" s="6" t="n">
        <f aca="false">SUM(C11:E11)</f>
        <v>66000</v>
      </c>
      <c r="G11" s="15" t="s">
        <v>38</v>
      </c>
    </row>
    <row r="12" customFormat="false" ht="15" hidden="false" customHeight="false" outlineLevel="0" collapsed="false">
      <c r="A12" s="4" t="s">
        <v>39</v>
      </c>
      <c r="B12" s="13" t="s">
        <v>40</v>
      </c>
      <c r="C12" s="14" t="n">
        <v>15000</v>
      </c>
      <c r="D12" s="14" t="n">
        <v>16200</v>
      </c>
      <c r="E12" s="14" t="n">
        <v>17500</v>
      </c>
      <c r="F12" s="6" t="n">
        <f aca="false">SUM(C12:E12)</f>
        <v>48700</v>
      </c>
      <c r="G12" s="15" t="s">
        <v>41</v>
      </c>
    </row>
    <row r="13" customFormat="false" ht="15" hidden="false" customHeight="false" outlineLevel="0" collapsed="false">
      <c r="A13" s="4" t="s">
        <v>42</v>
      </c>
      <c r="B13" s="13" t="s">
        <v>40</v>
      </c>
      <c r="C13" s="14" t="n">
        <v>8500</v>
      </c>
      <c r="D13" s="14" t="n">
        <v>9000</v>
      </c>
      <c r="E13" s="14" t="n">
        <v>9500</v>
      </c>
      <c r="F13" s="6" t="n">
        <f aca="false">SUM(C13:E13)</f>
        <v>27000</v>
      </c>
      <c r="G13" s="15" t="s">
        <v>43</v>
      </c>
    </row>
    <row r="14" customFormat="false" ht="15" hidden="false" customHeight="false" outlineLevel="0" collapsed="false">
      <c r="A14" s="4" t="s">
        <v>44</v>
      </c>
      <c r="B14" s="13" t="s">
        <v>45</v>
      </c>
      <c r="C14" s="14" t="n">
        <v>12000</v>
      </c>
      <c r="D14" s="14" t="n">
        <v>12000</v>
      </c>
      <c r="E14" s="14" t="n">
        <v>12000</v>
      </c>
      <c r="F14" s="6" t="n">
        <f aca="false">SUM(C14:E14)</f>
        <v>36000</v>
      </c>
      <c r="G14" s="15" t="s">
        <v>46</v>
      </c>
    </row>
    <row r="15" customFormat="false" ht="15" hidden="false" customHeight="false" outlineLevel="0" collapsed="false">
      <c r="A15" s="4" t="s">
        <v>47</v>
      </c>
      <c r="B15" s="13" t="s">
        <v>40</v>
      </c>
      <c r="C15" s="14" t="n">
        <v>8000</v>
      </c>
      <c r="D15" s="14" t="n">
        <v>8000</v>
      </c>
      <c r="E15" s="14" t="n">
        <v>8000</v>
      </c>
      <c r="F15" s="6" t="n">
        <f aca="false">SUM(C15:E15)</f>
        <v>24000</v>
      </c>
      <c r="G15" s="15" t="s">
        <v>48</v>
      </c>
    </row>
    <row r="16" customFormat="false" ht="15" hidden="false" customHeight="false" outlineLevel="0" collapsed="false">
      <c r="A16" s="4" t="s">
        <v>49</v>
      </c>
      <c r="B16" s="13" t="s">
        <v>40</v>
      </c>
      <c r="C16" s="14" t="n">
        <v>3000</v>
      </c>
      <c r="D16" s="14" t="n">
        <v>3000</v>
      </c>
      <c r="E16" s="14" t="n">
        <v>3000</v>
      </c>
      <c r="F16" s="6" t="n">
        <f aca="false">SUM(C16:E16)</f>
        <v>9000</v>
      </c>
      <c r="G16" s="15" t="s">
        <v>50</v>
      </c>
    </row>
    <row r="17" customFormat="false" ht="15" hidden="false" customHeight="false" outlineLevel="0" collapsed="false">
      <c r="A17" s="4" t="s">
        <v>51</v>
      </c>
      <c r="B17" s="13" t="s">
        <v>45</v>
      </c>
      <c r="C17" s="14" t="n">
        <v>15000</v>
      </c>
      <c r="D17" s="14" t="n">
        <v>15000</v>
      </c>
      <c r="E17" s="14" t="n">
        <v>15000</v>
      </c>
      <c r="F17" s="6" t="n">
        <f aca="false">SUM(C17:E17)</f>
        <v>45000</v>
      </c>
      <c r="G17" s="15" t="s">
        <v>52</v>
      </c>
    </row>
    <row r="18" customFormat="false" ht="15" hidden="false" customHeight="false" outlineLevel="0" collapsed="false">
      <c r="A18" s="4" t="s">
        <v>53</v>
      </c>
      <c r="B18" s="13" t="s">
        <v>45</v>
      </c>
      <c r="C18" s="14" t="n">
        <v>15000</v>
      </c>
      <c r="D18" s="14" t="n">
        <v>15000</v>
      </c>
      <c r="E18" s="14" t="n">
        <v>15000</v>
      </c>
      <c r="F18" s="6" t="n">
        <f aca="false">SUM(C18:E18)</f>
        <v>45000</v>
      </c>
      <c r="G18" s="15" t="s">
        <v>52</v>
      </c>
    </row>
    <row r="19" customFormat="false" ht="15" hidden="false" customHeight="false" outlineLevel="0" collapsed="false">
      <c r="A19" s="4" t="s">
        <v>54</v>
      </c>
      <c r="B19" s="13" t="s">
        <v>45</v>
      </c>
      <c r="C19" s="14" t="n">
        <v>15000</v>
      </c>
      <c r="D19" s="14" t="n">
        <v>15000</v>
      </c>
      <c r="E19" s="14" t="n">
        <v>15000</v>
      </c>
      <c r="F19" s="6" t="n">
        <f aca="false">SUM(C19:E19)</f>
        <v>45000</v>
      </c>
      <c r="G19" s="15" t="s">
        <v>52</v>
      </c>
    </row>
    <row r="20" customFormat="false" ht="15" hidden="false" customHeight="false" outlineLevel="0" collapsed="false">
      <c r="A20" s="4" t="s">
        <v>55</v>
      </c>
      <c r="B20" s="13" t="s">
        <v>40</v>
      </c>
      <c r="C20" s="14" t="n">
        <v>15810</v>
      </c>
      <c r="D20" s="14" t="n">
        <v>14970</v>
      </c>
      <c r="E20" s="14" t="n">
        <v>18030</v>
      </c>
      <c r="F20" s="6" t="n">
        <f aca="false">SUM(C20:E20)</f>
        <v>48810</v>
      </c>
      <c r="G20" s="15" t="s">
        <v>56</v>
      </c>
    </row>
    <row r="22" customFormat="false" ht="15" hidden="false" customHeight="false" outlineLevel="0" collapsed="false">
      <c r="A22" s="16" t="s">
        <v>57</v>
      </c>
      <c r="C22" s="17" t="n">
        <f aca="false">SUM(C5,C6,C7,C8,C9)</f>
        <v>318000</v>
      </c>
      <c r="D22" s="17" t="n">
        <f aca="false">SUM(D5,D6,D7,D8,D9)</f>
        <v>331000</v>
      </c>
      <c r="E22" s="17" t="n">
        <f aca="false">SUM(E5,E6,E7,E8,E9)</f>
        <v>345000</v>
      </c>
      <c r="F22" s="17" t="n">
        <f aca="false">SUM(C22:E22)</f>
        <v>994000</v>
      </c>
    </row>
    <row r="23" customFormat="false" ht="15" hidden="false" customHeight="false" outlineLevel="0" collapsed="false">
      <c r="A23" s="16" t="s">
        <v>58</v>
      </c>
      <c r="C23" s="17" t="n">
        <f aca="false">SUM(C10,C11)</f>
        <v>42000</v>
      </c>
      <c r="D23" s="17" t="n">
        <f aca="false">SUM(D10,D11)</f>
        <v>44000</v>
      </c>
      <c r="E23" s="17" t="n">
        <f aca="false">SUM(E10,E11)</f>
        <v>46000</v>
      </c>
      <c r="F23" s="17" t="n">
        <f aca="false">SUM(C23:E23)</f>
        <v>132000</v>
      </c>
    </row>
    <row r="24" customFormat="false" ht="15" hidden="false" customHeight="false" outlineLevel="0" collapsed="false">
      <c r="A24" s="16" t="s">
        <v>59</v>
      </c>
      <c r="C24" s="17" t="n">
        <f aca="false">SUM(C12,C13,C14,C15,C16)</f>
        <v>46500</v>
      </c>
      <c r="D24" s="17" t="n">
        <f aca="false">SUM(D12,D13,D14,D15,D16)</f>
        <v>48200</v>
      </c>
      <c r="E24" s="17" t="n">
        <f aca="false">SUM(E12,E13,E14,E15,E16)</f>
        <v>50000</v>
      </c>
      <c r="F24" s="17" t="n">
        <f aca="false">SUM(C24:E24)</f>
        <v>144700</v>
      </c>
    </row>
    <row r="25" customFormat="false" ht="15" hidden="false" customHeight="false" outlineLevel="0" collapsed="false">
      <c r="A25" s="16" t="s">
        <v>60</v>
      </c>
      <c r="C25" s="17" t="n">
        <f aca="false">SUM(C17,C18,C19)</f>
        <v>45000</v>
      </c>
      <c r="D25" s="17" t="n">
        <f aca="false">SUM(D17,D18,D19)</f>
        <v>45000</v>
      </c>
      <c r="E25" s="17" t="n">
        <f aca="false">SUM(E17,E18,E19)</f>
        <v>45000</v>
      </c>
      <c r="F25" s="17" t="n">
        <f aca="false">SUM(C25:E25)</f>
        <v>135000</v>
      </c>
    </row>
    <row r="26" customFormat="false" ht="15" hidden="false" customHeight="false" outlineLevel="0" collapsed="false">
      <c r="A26" s="16" t="s">
        <v>61</v>
      </c>
      <c r="C26" s="17" t="n">
        <f aca="false">SUM(C20)</f>
        <v>15810</v>
      </c>
      <c r="D26" s="17" t="n">
        <f aca="false">SUM(D20)</f>
        <v>14970</v>
      </c>
      <c r="E26" s="17" t="n">
        <f aca="false">SUM(E20)</f>
        <v>18030</v>
      </c>
      <c r="F26" s="17" t="n">
        <f aca="false">SUM(C26:E26)</f>
        <v>48810</v>
      </c>
    </row>
    <row r="28" customFormat="false" ht="15" hidden="false" customHeight="false" outlineLevel="0" collapsed="false">
      <c r="A28" s="8" t="s">
        <v>62</v>
      </c>
      <c r="C28" s="9" t="n">
        <f aca="false">C22+C23+C24+C25+C26</f>
        <v>467310</v>
      </c>
      <c r="D28" s="9" t="n">
        <f aca="false">D22+D23+D24+D25+D26</f>
        <v>483170</v>
      </c>
      <c r="E28" s="9" t="n">
        <f aca="false">E22+E23+E24+E25+E26</f>
        <v>504030</v>
      </c>
      <c r="F28" s="9" t="n">
        <f aca="false">SUM(C28:E28)</f>
        <v>1454510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63</v>
      </c>
    </row>
    <row r="2" customFormat="false" ht="15" hidden="false" customHeight="false" outlineLevel="0" collapsed="false">
      <c r="A2" s="2" t="s">
        <v>64</v>
      </c>
    </row>
    <row r="4" customFormat="false" ht="15" hidden="false" customHeight="false" outlineLevel="0" collapsed="false">
      <c r="A4" s="18" t="s">
        <v>65</v>
      </c>
      <c r="B4" s="19" t="n">
        <f aca="false">Summary!E11</f>
        <v>1454510</v>
      </c>
    </row>
    <row r="5" customFormat="false" ht="15" hidden="false" customHeight="false" outlineLevel="0" collapsed="false">
      <c r="A5" s="18" t="s">
        <v>66</v>
      </c>
      <c r="B5" s="20" t="n">
        <f aca="false">B4*0.2</f>
        <v>290902</v>
      </c>
    </row>
    <row r="7" customFormat="false" ht="15" hidden="false" customHeight="false" outlineLevel="0" collapsed="false">
      <c r="A7" s="3" t="s">
        <v>67</v>
      </c>
      <c r="B7" s="3" t="s">
        <v>68</v>
      </c>
      <c r="C7" s="3" t="s">
        <v>69</v>
      </c>
      <c r="D7" s="3" t="s">
        <v>70</v>
      </c>
      <c r="E7" s="3" t="s">
        <v>71</v>
      </c>
    </row>
    <row r="8" customFormat="false" ht="15" hidden="false" customHeight="false" outlineLevel="0" collapsed="false">
      <c r="A8" s="4" t="s">
        <v>72</v>
      </c>
      <c r="B8" s="21" t="n">
        <v>0.4</v>
      </c>
      <c r="C8" s="6" t="n">
        <f aca="false">B8*$B$4</f>
        <v>581804</v>
      </c>
      <c r="D8" s="14" t="n">
        <v>0</v>
      </c>
      <c r="E8" s="22" t="s">
        <v>73</v>
      </c>
    </row>
    <row r="9" customFormat="false" ht="23.85" hidden="false" customHeight="false" outlineLevel="0" collapsed="false">
      <c r="A9" s="4" t="s">
        <v>74</v>
      </c>
      <c r="B9" s="21" t="n">
        <v>0.15</v>
      </c>
      <c r="C9" s="6" t="n">
        <f aca="false">B9*$B$4</f>
        <v>218176.5</v>
      </c>
      <c r="D9" s="14" t="n">
        <v>0</v>
      </c>
      <c r="E9" s="22" t="s">
        <v>75</v>
      </c>
    </row>
    <row r="10" customFormat="false" ht="15" hidden="false" customHeight="false" outlineLevel="0" collapsed="false">
      <c r="A10" s="4" t="s">
        <v>76</v>
      </c>
      <c r="B10" s="21" t="n">
        <v>0.15</v>
      </c>
      <c r="C10" s="6" t="n">
        <f aca="false">B10*$B$4</f>
        <v>218176.5</v>
      </c>
      <c r="D10" s="14" t="n">
        <v>0</v>
      </c>
      <c r="E10" s="22" t="s">
        <v>77</v>
      </c>
    </row>
    <row r="11" customFormat="false" ht="15" hidden="false" customHeight="false" outlineLevel="0" collapsed="false">
      <c r="A11" s="4" t="s">
        <v>78</v>
      </c>
      <c r="B11" s="21" t="n">
        <v>0.1</v>
      </c>
      <c r="C11" s="6" t="n">
        <f aca="false">B11*$B$4</f>
        <v>145451</v>
      </c>
      <c r="D11" s="14" t="n">
        <v>0</v>
      </c>
      <c r="E11" s="22" t="s">
        <v>79</v>
      </c>
    </row>
    <row r="12" customFormat="false" ht="23.85" hidden="false" customHeight="false" outlineLevel="0" collapsed="false">
      <c r="A12" s="4" t="s">
        <v>80</v>
      </c>
      <c r="B12" s="21" t="n">
        <v>0.2</v>
      </c>
      <c r="C12" s="6" t="n">
        <f aca="false">B12*$B$4</f>
        <v>290902</v>
      </c>
      <c r="D12" s="14" t="n">
        <v>0</v>
      </c>
      <c r="E12" s="22" t="s">
        <v>81</v>
      </c>
    </row>
    <row r="14" customFormat="false" ht="15" hidden="false" customHeight="false" outlineLevel="0" collapsed="false">
      <c r="A14" s="23" t="s">
        <v>13</v>
      </c>
      <c r="B14" s="10" t="n">
        <f aca="false">SUM(B8:B12)</f>
        <v>1</v>
      </c>
      <c r="C14" s="24" t="n">
        <f aca="false">SUM(C8:C12)</f>
        <v>1454510</v>
      </c>
      <c r="D14" s="24" t="n">
        <f aca="false">SUM(D8:D12)</f>
        <v>0</v>
      </c>
    </row>
    <row r="17" customFormat="false" ht="15" hidden="false" customHeight="false" outlineLevel="0" collapsed="false">
      <c r="A17" s="11" t="s">
        <v>82</v>
      </c>
    </row>
    <row r="18" customFormat="false" ht="15" hidden="false" customHeight="false" outlineLevel="0" collapsed="false">
      <c r="A18" s="0" t="s">
        <v>83</v>
      </c>
      <c r="B18" s="25" t="n">
        <f aca="false">MAX(B8:B12)</f>
        <v>0.4</v>
      </c>
    </row>
    <row r="19" customFormat="false" ht="15" hidden="false" customHeight="false" outlineLevel="0" collapsed="false">
      <c r="A19" s="0" t="s">
        <v>84</v>
      </c>
      <c r="B19" s="26" t="str">
        <f aca="false">IF(B18&gt;0.2,"YES — REBALANCE","OK")</f>
        <v>YES — REBALANCE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50"/>
    <col collapsed="false" customWidth="true" hidden="false" outlineLevel="0" max="4" min="4" style="0" width="30"/>
  </cols>
  <sheetData>
    <row r="1" customFormat="false" ht="19.7" hidden="false" customHeight="false" outlineLevel="0" collapsed="false">
      <c r="A1" s="1" t="s">
        <v>85</v>
      </c>
    </row>
    <row r="2" customFormat="false" ht="15" hidden="false" customHeight="false" outlineLevel="0" collapsed="false">
      <c r="A2" s="2" t="s">
        <v>86</v>
      </c>
    </row>
    <row r="4" customFormat="false" ht="15" hidden="false" customHeight="false" outlineLevel="0" collapsed="false">
      <c r="A4" s="3" t="s">
        <v>87</v>
      </c>
      <c r="B4" s="3" t="s">
        <v>88</v>
      </c>
      <c r="C4" s="3" t="s">
        <v>89</v>
      </c>
      <c r="D4" s="3" t="s">
        <v>90</v>
      </c>
    </row>
    <row r="5" customFormat="false" ht="36" hidden="false" customHeight="true" outlineLevel="0" collapsed="false">
      <c r="A5" s="27" t="n">
        <v>1</v>
      </c>
      <c r="B5" s="28" t="s">
        <v>91</v>
      </c>
      <c r="C5" s="29" t="s">
        <v>92</v>
      </c>
      <c r="D5" s="30" t="s">
        <v>93</v>
      </c>
    </row>
    <row r="6" customFormat="false" ht="36" hidden="false" customHeight="true" outlineLevel="0" collapsed="false">
      <c r="A6" s="27" t="n">
        <v>2</v>
      </c>
      <c r="B6" s="28" t="s">
        <v>94</v>
      </c>
      <c r="C6" s="29" t="s">
        <v>95</v>
      </c>
      <c r="D6" s="30" t="s">
        <v>96</v>
      </c>
    </row>
    <row r="7" customFormat="false" ht="36" hidden="false" customHeight="true" outlineLevel="0" collapsed="false">
      <c r="A7" s="27" t="n">
        <v>3</v>
      </c>
      <c r="B7" s="28" t="s">
        <v>97</v>
      </c>
      <c r="C7" s="29" t="s">
        <v>98</v>
      </c>
      <c r="D7" s="30" t="s">
        <v>99</v>
      </c>
    </row>
    <row r="8" customFormat="false" ht="36" hidden="false" customHeight="true" outlineLevel="0" collapsed="false">
      <c r="A8" s="27" t="n">
        <v>4</v>
      </c>
      <c r="B8" s="28" t="s">
        <v>100</v>
      </c>
      <c r="C8" s="29" t="s">
        <v>101</v>
      </c>
      <c r="D8" s="30" t="s">
        <v>102</v>
      </c>
    </row>
    <row r="9" customFormat="false" ht="36" hidden="false" customHeight="true" outlineLevel="0" collapsed="false">
      <c r="A9" s="27" t="n">
        <v>5</v>
      </c>
      <c r="B9" s="28" t="s">
        <v>103</v>
      </c>
      <c r="C9" s="29" t="s">
        <v>104</v>
      </c>
      <c r="D9" s="30" t="s">
        <v>105</v>
      </c>
    </row>
    <row r="10" customFormat="false" ht="36" hidden="false" customHeight="true" outlineLevel="0" collapsed="false">
      <c r="A10" s="27" t="n">
        <v>6</v>
      </c>
      <c r="B10" s="28" t="s">
        <v>106</v>
      </c>
      <c r="C10" s="29" t="s">
        <v>107</v>
      </c>
      <c r="D10" s="30" t="s">
        <v>108</v>
      </c>
    </row>
    <row r="11" customFormat="false" ht="36" hidden="false" customHeight="true" outlineLevel="0" collapsed="false">
      <c r="A11" s="27" t="n">
        <v>7</v>
      </c>
      <c r="B11" s="28" t="s">
        <v>109</v>
      </c>
      <c r="C11" s="29" t="s">
        <v>110</v>
      </c>
      <c r="D11" s="30" t="s">
        <v>111</v>
      </c>
    </row>
    <row r="12" customFormat="false" ht="36" hidden="false" customHeight="true" outlineLevel="0" collapsed="false">
      <c r="A12" s="27" t="n">
        <v>8</v>
      </c>
      <c r="B12" s="28" t="s">
        <v>112</v>
      </c>
      <c r="C12" s="29" t="s">
        <v>113</v>
      </c>
      <c r="D12" s="30" t="s">
        <v>114</v>
      </c>
    </row>
    <row r="13" customFormat="false" ht="36" hidden="false" customHeight="true" outlineLevel="0" collapsed="false">
      <c r="A13" s="27" t="n">
        <v>9</v>
      </c>
      <c r="B13" s="28" t="s">
        <v>115</v>
      </c>
      <c r="C13" s="29" t="s">
        <v>116</v>
      </c>
      <c r="D13" s="30" t="s">
        <v>117</v>
      </c>
    </row>
    <row r="14" customFormat="false" ht="36" hidden="false" customHeight="true" outlineLevel="0" collapsed="false">
      <c r="A14" s="27" t="n">
        <v>10</v>
      </c>
      <c r="B14" s="28" t="s">
        <v>118</v>
      </c>
      <c r="C14" s="29" t="s">
        <v>119</v>
      </c>
      <c r="D14" s="30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2026-04-20T22:17:22Z</dcterms:created>
  <dc:creator>openpyxl</dc:creator>
  <dc:description/>
  <dc:language>en-US</dc:language>
  <cp:lastModifiedBy/>
  <dcterms:modified xsi:type="dcterms:W3CDTF">2026-04-20T22:17:22Z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